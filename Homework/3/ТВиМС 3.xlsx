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<sst xmlns="http://schemas.openxmlformats.org/spreadsheetml/2006/main" count="13" uniqueCount="13">
  <si>
    <t>Расчетные данные:</t>
  </si>
  <si>
    <t>Границы интервалов:</t>
  </si>
  <si>
    <t>Размер выборки</t>
  </si>
  <si>
    <t>Частота</t>
  </si>
  <si>
    <t>p_k</t>
  </si>
  <si>
    <t>p_k*n</t>
  </si>
  <si>
    <t>Вклад в хи2</t>
  </si>
  <si>
    <t>Статистика хи2</t>
  </si>
  <si>
    <t>Критическое значение</t>
  </si>
  <si>
    <t>Выборочное среднее</t>
  </si>
  <si>
    <t>Стандартное отклонение</t>
  </si>
  <si>
    <t>Уровень значимости</t>
  </si>
  <si>
    <t>Набл. хи-квадрат &gt; крит. хи-квадрат, значит, гипотеза противоречит опытным данным на уровне значимости 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</si>
</sst>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color theme="1"/>
      <name val="Courier New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7" max="8" width="17.63"/>
    <col customWidth="1" min="12" max="12" width="13.38"/>
    <col customWidth="1" min="14" max="14" width="18.38"/>
  </cols>
  <sheetData>
    <row r="1">
      <c r="A1" s="1">
        <v>2.04724</v>
      </c>
      <c r="C1" s="2" t="s">
        <v>0</v>
      </c>
      <c r="F1" s="3">
        <v>2.00337</v>
      </c>
      <c r="H1" s="2" t="s">
        <v>1</v>
      </c>
    </row>
    <row r="2">
      <c r="A2" s="1">
        <v>2.30863</v>
      </c>
      <c r="C2" s="2" t="s">
        <v>2</v>
      </c>
      <c r="D2" s="4">
        <f>COUNT(A1:A50)</f>
        <v>50</v>
      </c>
      <c r="F2" s="3">
        <v>2.02023</v>
      </c>
      <c r="H2" s="4">
        <f>F1-1</f>
        <v>1.00337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</row>
    <row r="3">
      <c r="A3" s="1">
        <v>2.7061</v>
      </c>
      <c r="C3" s="2" t="s">
        <v>9</v>
      </c>
      <c r="D3" s="5">
        <f>AVERAGE(A1:A50)</f>
        <v>2.5638358</v>
      </c>
      <c r="F3" s="3">
        <v>2.03736</v>
      </c>
      <c r="H3" s="4">
        <f>F3</f>
        <v>2.03736</v>
      </c>
      <c r="I3" s="6">
        <f>COUNT(F1:F3)</f>
        <v>3</v>
      </c>
      <c r="J3" s="7">
        <f>NORMSDIST((H3 - $D$3)/$D$4)</f>
        <v>0.2010744684</v>
      </c>
      <c r="K3" s="5">
        <f t="shared" ref="K3:K8" si="1">J3*$D$2</f>
        <v>10.05372342</v>
      </c>
      <c r="L3" s="5">
        <f t="shared" ref="L3:L8" si="2">(I3-K3)^2 / K3</f>
        <v>4.948914151</v>
      </c>
      <c r="M3" s="5">
        <f>SUM(L3:L8)</f>
        <v>26.41004579</v>
      </c>
      <c r="N3" s="5">
        <f>_xlfn.CHISQ.INV(1-D5, COUNT(I3:I8)-2-1)</f>
        <v>6.251388631</v>
      </c>
    </row>
    <row r="4">
      <c r="A4" s="1">
        <v>2.02023</v>
      </c>
      <c r="C4" s="2" t="s">
        <v>10</v>
      </c>
      <c r="D4" s="5">
        <f>STDEV(A1:A50)</f>
        <v>0.6284105971</v>
      </c>
      <c r="F4" s="8">
        <v>2.04148</v>
      </c>
      <c r="H4" s="4">
        <f>F13</f>
        <v>2.24217</v>
      </c>
      <c r="I4" s="6">
        <f>COUNT(F4:F13)</f>
        <v>10</v>
      </c>
      <c r="J4" s="7">
        <f t="shared" ref="J4:J7" si="3">NORMSDIST((H4 - $D$3)/$D$4)-NORMSDIST((H3-$D$3)/$D$4)</f>
        <v>0.1032958234</v>
      </c>
      <c r="K4" s="5">
        <f t="shared" si="1"/>
        <v>5.164791168</v>
      </c>
      <c r="L4" s="5">
        <f t="shared" si="2"/>
        <v>4.526658231</v>
      </c>
    </row>
    <row r="5">
      <c r="A5" s="1">
        <v>2.35817</v>
      </c>
      <c r="C5" s="2" t="s">
        <v>11</v>
      </c>
      <c r="D5" s="2">
        <v>0.1</v>
      </c>
      <c r="F5" s="8">
        <v>2.04724</v>
      </c>
      <c r="H5" s="4">
        <f>F26</f>
        <v>2.49858</v>
      </c>
      <c r="I5" s="6">
        <f>COUNT(F14:F26)</f>
        <v>13</v>
      </c>
      <c r="J5" s="7">
        <f t="shared" si="3"/>
        <v>0.1542768317</v>
      </c>
      <c r="K5" s="5">
        <f t="shared" si="1"/>
        <v>7.713841586</v>
      </c>
      <c r="L5" s="5">
        <f t="shared" si="2"/>
        <v>3.622510324</v>
      </c>
    </row>
    <row r="6">
      <c r="A6" s="1">
        <v>4.64621</v>
      </c>
      <c r="F6" s="8">
        <v>2.05913</v>
      </c>
      <c r="H6" s="4">
        <f>F38</f>
        <v>2.67572</v>
      </c>
      <c r="I6" s="6">
        <f>COUNT(F27:F38)</f>
        <v>12</v>
      </c>
      <c r="J6" s="7">
        <f t="shared" si="3"/>
        <v>0.112008331</v>
      </c>
      <c r="K6" s="5">
        <f t="shared" si="1"/>
        <v>5.600416549</v>
      </c>
      <c r="L6" s="5">
        <f t="shared" si="2"/>
        <v>7.31278968</v>
      </c>
    </row>
    <row r="7">
      <c r="A7" s="1">
        <v>2.09655</v>
      </c>
      <c r="F7" s="8">
        <v>2.08263</v>
      </c>
      <c r="H7" s="4">
        <f>F44</f>
        <v>2.86845</v>
      </c>
      <c r="I7" s="6">
        <f>COUNT(F39:F44)</f>
        <v>6</v>
      </c>
      <c r="J7" s="7">
        <f t="shared" si="3"/>
        <v>0.1154132747</v>
      </c>
      <c r="K7" s="5">
        <f t="shared" si="1"/>
        <v>5.770663734</v>
      </c>
      <c r="L7" s="5">
        <f t="shared" si="2"/>
        <v>0.009114224165</v>
      </c>
    </row>
    <row r="8">
      <c r="A8" s="1">
        <v>2.05913</v>
      </c>
      <c r="F8" s="8">
        <v>2.09655</v>
      </c>
      <c r="H8" s="4">
        <f>F50+1</f>
        <v>6.58489</v>
      </c>
      <c r="I8" s="6">
        <f>COUNT(F45:F50)</f>
        <v>6</v>
      </c>
      <c r="J8" s="7">
        <f>1-NORMSDIST((H7-$D$3)/$D$4)</f>
        <v>0.3139312708</v>
      </c>
      <c r="K8" s="5">
        <f t="shared" si="1"/>
        <v>15.69656354</v>
      </c>
      <c r="L8" s="5">
        <f t="shared" si="2"/>
        <v>5.990059179</v>
      </c>
    </row>
    <row r="9">
      <c r="A9" s="1">
        <v>2.54777</v>
      </c>
      <c r="F9" s="8">
        <v>2.12207</v>
      </c>
      <c r="I9" s="6">
        <f t="shared" ref="I9:J9" si="4">SUM(I3:I8)</f>
        <v>50</v>
      </c>
      <c r="J9" s="5">
        <f t="shared" si="4"/>
        <v>1</v>
      </c>
    </row>
    <row r="10">
      <c r="A10" s="1">
        <v>2.22937</v>
      </c>
      <c r="F10" s="8">
        <v>2.16674</v>
      </c>
    </row>
    <row r="11">
      <c r="A11" s="1">
        <v>2.00337</v>
      </c>
      <c r="F11" s="8">
        <v>2.18007</v>
      </c>
      <c r="H11" s="2" t="s">
        <v>12</v>
      </c>
    </row>
    <row r="12">
      <c r="A12" s="1">
        <v>2.35718</v>
      </c>
      <c r="F12" s="8">
        <v>2.22937</v>
      </c>
    </row>
    <row r="13">
      <c r="A13" s="1">
        <v>2.08263</v>
      </c>
      <c r="F13" s="8">
        <v>2.24217</v>
      </c>
    </row>
    <row r="14">
      <c r="A14" s="1">
        <v>3.8018</v>
      </c>
      <c r="F14" s="9">
        <v>2.24745</v>
      </c>
    </row>
    <row r="15">
      <c r="A15" s="1">
        <v>2.97985</v>
      </c>
      <c r="F15" s="9">
        <v>2.27383</v>
      </c>
    </row>
    <row r="16">
      <c r="A16" s="1">
        <v>2.39814</v>
      </c>
      <c r="F16" s="9">
        <v>2.27734</v>
      </c>
    </row>
    <row r="17">
      <c r="A17" s="1">
        <v>2.54963</v>
      </c>
      <c r="F17" s="9">
        <v>2.29374</v>
      </c>
    </row>
    <row r="18">
      <c r="A18" s="1">
        <v>5.58489</v>
      </c>
      <c r="F18" s="9">
        <v>2.29567</v>
      </c>
    </row>
    <row r="19">
      <c r="A19" s="1">
        <v>2.03736</v>
      </c>
      <c r="F19" s="9">
        <v>2.30863</v>
      </c>
    </row>
    <row r="20">
      <c r="A20" s="1">
        <v>2.12207</v>
      </c>
      <c r="F20" s="9">
        <v>2.31486</v>
      </c>
    </row>
    <row r="21">
      <c r="A21" s="1">
        <v>2.16674</v>
      </c>
      <c r="F21" s="9">
        <v>2.31724</v>
      </c>
    </row>
    <row r="22">
      <c r="A22" s="1">
        <v>2.31486</v>
      </c>
      <c r="F22" s="9">
        <v>2.35357</v>
      </c>
    </row>
    <row r="23">
      <c r="A23" s="1">
        <v>2.57227</v>
      </c>
      <c r="F23" s="9">
        <v>2.35718</v>
      </c>
    </row>
    <row r="24">
      <c r="A24" s="1">
        <v>2.58787</v>
      </c>
      <c r="F24" s="9">
        <v>2.35817</v>
      </c>
    </row>
    <row r="25">
      <c r="A25" s="1">
        <v>2.49858</v>
      </c>
      <c r="F25" s="9">
        <v>2.39814</v>
      </c>
    </row>
    <row r="26">
      <c r="A26" s="1">
        <v>2.69607</v>
      </c>
      <c r="F26" s="9">
        <v>2.49858</v>
      </c>
    </row>
    <row r="27">
      <c r="A27" s="1">
        <v>2.95617</v>
      </c>
      <c r="F27" s="10">
        <v>2.54777</v>
      </c>
    </row>
    <row r="28">
      <c r="A28" s="1">
        <v>2.29374</v>
      </c>
      <c r="F28" s="10">
        <v>2.54827</v>
      </c>
    </row>
    <row r="29">
      <c r="A29" s="1">
        <v>2.93281</v>
      </c>
      <c r="F29" s="10">
        <v>2.54963</v>
      </c>
    </row>
    <row r="30">
      <c r="A30" s="1">
        <v>2.68048</v>
      </c>
      <c r="F30" s="10">
        <v>2.55856</v>
      </c>
    </row>
    <row r="31">
      <c r="A31" s="1">
        <v>2.75624</v>
      </c>
      <c r="F31" s="10">
        <v>2.57227</v>
      </c>
    </row>
    <row r="32">
      <c r="A32" s="1">
        <v>2.04148</v>
      </c>
      <c r="F32" s="10">
        <v>2.58787</v>
      </c>
    </row>
    <row r="33">
      <c r="A33" s="1">
        <v>2.65199</v>
      </c>
      <c r="F33" s="10">
        <v>2.59155</v>
      </c>
    </row>
    <row r="34">
      <c r="A34" s="1">
        <v>2.60345</v>
      </c>
      <c r="F34" s="10">
        <v>2.60345</v>
      </c>
    </row>
    <row r="35">
      <c r="A35" s="1">
        <v>2.29567</v>
      </c>
      <c r="F35" s="10">
        <v>2.60837</v>
      </c>
    </row>
    <row r="36">
      <c r="A36" s="1">
        <v>2.83439</v>
      </c>
      <c r="F36" s="10">
        <v>2.63007</v>
      </c>
    </row>
    <row r="37">
      <c r="A37" s="1">
        <v>2.18007</v>
      </c>
      <c r="F37" s="10">
        <v>2.65199</v>
      </c>
    </row>
    <row r="38">
      <c r="A38" s="1">
        <v>2.67572</v>
      </c>
      <c r="F38" s="10">
        <v>2.67572</v>
      </c>
    </row>
    <row r="39">
      <c r="A39" s="1">
        <v>2.35357</v>
      </c>
      <c r="F39" s="11">
        <v>2.68048</v>
      </c>
    </row>
    <row r="40">
      <c r="A40" s="1">
        <v>2.55856</v>
      </c>
      <c r="F40" s="11">
        <v>2.69607</v>
      </c>
    </row>
    <row r="41">
      <c r="A41" s="1">
        <v>2.24745</v>
      </c>
      <c r="F41" s="11">
        <v>2.7061</v>
      </c>
    </row>
    <row r="42">
      <c r="A42" s="1">
        <v>2.27383</v>
      </c>
      <c r="F42" s="11">
        <v>2.75624</v>
      </c>
    </row>
    <row r="43">
      <c r="A43" s="1">
        <v>2.31724</v>
      </c>
      <c r="F43" s="11">
        <v>2.83439</v>
      </c>
    </row>
    <row r="44">
      <c r="A44" s="1">
        <v>2.24217</v>
      </c>
      <c r="F44" s="11">
        <v>2.86845</v>
      </c>
    </row>
    <row r="45">
      <c r="A45" s="1">
        <v>2.59155</v>
      </c>
      <c r="F45" s="12">
        <v>2.93281</v>
      </c>
    </row>
    <row r="46">
      <c r="A46" s="1">
        <v>2.63007</v>
      </c>
      <c r="F46" s="12">
        <v>2.95617</v>
      </c>
    </row>
    <row r="47">
      <c r="A47" s="1">
        <v>2.54827</v>
      </c>
      <c r="F47" s="12">
        <v>2.97985</v>
      </c>
    </row>
    <row r="48">
      <c r="A48" s="1">
        <v>2.86845</v>
      </c>
      <c r="F48" s="12">
        <v>3.8018</v>
      </c>
    </row>
    <row r="49">
      <c r="A49" s="1">
        <v>2.27734</v>
      </c>
      <c r="F49" s="12">
        <v>4.64621</v>
      </c>
    </row>
    <row r="50">
      <c r="A50" s="1">
        <v>2.60837</v>
      </c>
      <c r="F50" s="12">
        <v>5.58489</v>
      </c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</sheetData>
  <mergeCells count="1">
    <mergeCell ref="H11:N11"/>
  </mergeCells>
  <drawing r:id="rId1"/>
</worksheet>
</file>