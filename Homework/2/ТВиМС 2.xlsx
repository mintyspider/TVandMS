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<sst xmlns="http://schemas.openxmlformats.org/spreadsheetml/2006/main" count="38" uniqueCount="21">
  <si>
    <t>Часть 1:</t>
  </si>
  <si>
    <t>Неизвестная дисперсия для матожидания</t>
  </si>
  <si>
    <t>Часть 2:</t>
  </si>
  <si>
    <t>Известная дисперсия 9 для матожидания</t>
  </si>
  <si>
    <t>Часть 3:</t>
  </si>
  <si>
    <t>Неизвестное матожидание для дисперсии</t>
  </si>
  <si>
    <t>Размер выборки</t>
  </si>
  <si>
    <t>Уровень доверия</t>
  </si>
  <si>
    <t>Уровень значимости</t>
  </si>
  <si>
    <t>1-альфа/2</t>
  </si>
  <si>
    <t>Выб. Среднее</t>
  </si>
  <si>
    <t>Выб. Дисп. s^2</t>
  </si>
  <si>
    <t>Дисперсия по усл</t>
  </si>
  <si>
    <t>Станд. откл. s</t>
  </si>
  <si>
    <t>СрКвОткл</t>
  </si>
  <si>
    <t>Квантиль левый</t>
  </si>
  <si>
    <t>Квантиль Т-распр</t>
  </si>
  <si>
    <t>Квантиль правый</t>
  </si>
  <si>
    <t>Станд. ошибка</t>
  </si>
  <si>
    <t>Нижняя граница</t>
  </si>
  <si>
    <t>Верхняя граница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</si>
</sst>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  <scheme val="minor"/>
    </font>
    <font>
      <color theme="1"/>
      <name val="Courier New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2" fontId="2" numFmtId="0" xfId="0" applyAlignment="1" applyFill="1" applyFont="1">
      <alignment readingOrder="0"/>
    </xf>
    <xf borderId="0" fillId="2" fontId="2" numFmtId="164" xfId="0" applyFont="1" applyNumberFormat="1"/>
    <xf borderId="0" fillId="2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19.88"/>
    <col customWidth="1" min="4" max="4" width="33.75"/>
    <col customWidth="1" min="6" max="6" width="20.13"/>
    <col customWidth="1" min="7" max="7" width="34.13"/>
    <col customWidth="1" min="9" max="9" width="20.13"/>
    <col customWidth="1" min="10" max="10" width="33.88"/>
  </cols>
  <sheetData>
    <row r="1">
      <c r="A1" s="1">
        <v>2.04724</v>
      </c>
      <c r="C1" s="2" t="s">
        <v>0</v>
      </c>
      <c r="D1" s="2" t="s">
        <v>1</v>
      </c>
      <c r="F1" s="2" t="s">
        <v>2</v>
      </c>
      <c r="G1" s="2" t="s">
        <v>3</v>
      </c>
      <c r="I1" s="2" t="s">
        <v>4</v>
      </c>
      <c r="J1" s="2" t="s">
        <v>5</v>
      </c>
    </row>
    <row r="2">
      <c r="A2" s="1">
        <v>2.30863</v>
      </c>
    </row>
    <row r="3">
      <c r="A3" s="1">
        <v>2.7061</v>
      </c>
      <c r="C3" s="2" t="s">
        <v>6</v>
      </c>
      <c r="D3" s="3">
        <f>COUNT(A1:A50)</f>
        <v>50</v>
      </c>
      <c r="F3" s="2" t="s">
        <v>6</v>
      </c>
      <c r="G3" s="3">
        <f>COUNT(A1:A50)</f>
        <v>50</v>
      </c>
      <c r="I3" s="2" t="s">
        <v>6</v>
      </c>
      <c r="J3" s="3">
        <f>COUNT(A1:A50)</f>
        <v>50</v>
      </c>
    </row>
    <row r="4">
      <c r="A4" s="1">
        <v>2.02023</v>
      </c>
      <c r="C4" s="2" t="s">
        <v>7</v>
      </c>
      <c r="D4" s="2">
        <v>0.95</v>
      </c>
      <c r="F4" s="2" t="s">
        <v>7</v>
      </c>
      <c r="G4" s="2">
        <v>0.95</v>
      </c>
      <c r="I4" s="2" t="s">
        <v>7</v>
      </c>
      <c r="J4" s="2">
        <v>0.95</v>
      </c>
    </row>
    <row r="5">
      <c r="A5" s="1">
        <v>2.35817</v>
      </c>
      <c r="C5" s="2" t="s">
        <v>8</v>
      </c>
      <c r="D5" s="3">
        <f>1-D4</f>
        <v>0.05</v>
      </c>
      <c r="F5" s="2" t="s">
        <v>8</v>
      </c>
      <c r="G5" s="3">
        <f>1-G4</f>
        <v>0.05</v>
      </c>
      <c r="I5" s="2" t="s">
        <v>8</v>
      </c>
      <c r="J5" s="3">
        <f>1-J4</f>
        <v>0.05</v>
      </c>
    </row>
    <row r="6">
      <c r="A6" s="1">
        <v>4.64621</v>
      </c>
      <c r="C6" s="2" t="s">
        <v>9</v>
      </c>
      <c r="D6" s="3">
        <f>1-D5/2</f>
        <v>0.975</v>
      </c>
      <c r="F6" s="2" t="s">
        <v>9</v>
      </c>
      <c r="G6" s="3">
        <f>1-G5/2</f>
        <v>0.975</v>
      </c>
      <c r="I6" s="2" t="s">
        <v>9</v>
      </c>
      <c r="J6" s="3">
        <f>1-J5/2</f>
        <v>0.975</v>
      </c>
    </row>
    <row r="7">
      <c r="A7" s="1">
        <v>2.09655</v>
      </c>
      <c r="C7" s="2" t="s">
        <v>10</v>
      </c>
      <c r="D7" s="4">
        <f>AVERAGE(A1:A50)</f>
        <v>2.5638358</v>
      </c>
      <c r="F7" s="2" t="s">
        <v>10</v>
      </c>
      <c r="G7" s="4">
        <f>AVERAGE(A1:A50)</f>
        <v>2.5638358</v>
      </c>
      <c r="I7" s="2" t="s">
        <v>11</v>
      </c>
      <c r="J7" s="4">
        <f>VAR(A1:A50)</f>
        <v>0.3948998786</v>
      </c>
    </row>
    <row r="8">
      <c r="A8" s="1">
        <v>2.05913</v>
      </c>
      <c r="C8" s="2" t="s">
        <v>11</v>
      </c>
      <c r="D8" s="4">
        <f>VAR(A1:A50)</f>
        <v>0.3948998786</v>
      </c>
      <c r="F8" s="2" t="s">
        <v>12</v>
      </c>
      <c r="G8" s="2">
        <v>9.0</v>
      </c>
      <c r="I8" s="2" t="s">
        <v>13</v>
      </c>
      <c r="J8" s="4">
        <f>STDEV(A1:A50)</f>
        <v>0.6284105971</v>
      </c>
    </row>
    <row r="9">
      <c r="A9" s="1">
        <v>2.54777</v>
      </c>
      <c r="C9" s="2" t="s">
        <v>13</v>
      </c>
      <c r="D9" s="4">
        <f>STDEV(A1:A50)</f>
        <v>0.6284105971</v>
      </c>
      <c r="F9" s="2" t="s">
        <v>14</v>
      </c>
      <c r="G9" s="3">
        <f>SQRT(G8)</f>
        <v>3</v>
      </c>
      <c r="I9" s="2" t="s">
        <v>15</v>
      </c>
      <c r="J9" s="4">
        <f>_xlfn.CHISQ.INV(J6,J3-1)</f>
        <v>70.22241357</v>
      </c>
    </row>
    <row r="10">
      <c r="A10" s="1">
        <v>2.22937</v>
      </c>
      <c r="C10" s="2" t="s">
        <v>16</v>
      </c>
      <c r="D10" s="4">
        <f>_xlfn.T.INV(D6,D3-1)</f>
        <v>2.009575237</v>
      </c>
      <c r="F10" s="2" t="s">
        <v>16</v>
      </c>
      <c r="G10" s="4">
        <f>_xlfn.T.INV(D6,D3-1)</f>
        <v>2.009575237</v>
      </c>
      <c r="I10" s="2" t="s">
        <v>17</v>
      </c>
      <c r="J10" s="4">
        <f>_xlfn.CHISQ.INV(1-J6,J3-1)</f>
        <v>31.55491646</v>
      </c>
    </row>
    <row r="11">
      <c r="A11" s="1">
        <v>2.00337</v>
      </c>
      <c r="C11" s="2" t="s">
        <v>18</v>
      </c>
      <c r="D11" s="4">
        <f>D9/SQRT(D3)</f>
        <v>0.08887067892</v>
      </c>
      <c r="F11" s="2" t="s">
        <v>18</v>
      </c>
      <c r="G11" s="4">
        <f>G9/SQRT(G3)</f>
        <v>0.4242640687</v>
      </c>
    </row>
    <row r="12">
      <c r="A12" s="1">
        <v>2.35718</v>
      </c>
      <c r="C12" s="5" t="s">
        <v>19</v>
      </c>
      <c r="D12" s="6">
        <f>D7-D10*D11</f>
        <v>2.385243484</v>
      </c>
      <c r="F12" s="5" t="s">
        <v>19</v>
      </c>
      <c r="G12" s="6">
        <f>G7-G10*G11</f>
        <v>1.711245234</v>
      </c>
      <c r="I12" s="5" t="s">
        <v>19</v>
      </c>
      <c r="J12" s="7">
        <f>((J3-1)*J8)/J9</f>
        <v>0.4384941744</v>
      </c>
    </row>
    <row r="13">
      <c r="A13" s="1">
        <v>2.08263</v>
      </c>
      <c r="C13" s="5" t="s">
        <v>20</v>
      </c>
      <c r="D13" s="6">
        <f>D7+D10*D11</f>
        <v>2.742428116</v>
      </c>
      <c r="F13" s="5" t="s">
        <v>20</v>
      </c>
      <c r="G13" s="6">
        <f>G7+G10*G11</f>
        <v>3.416426366</v>
      </c>
      <c r="I13" s="5" t="s">
        <v>20</v>
      </c>
      <c r="J13" s="7">
        <f>((J3-1)*J8)/J10</f>
        <v>0.9758263596</v>
      </c>
    </row>
    <row r="14">
      <c r="A14" s="1">
        <v>3.8018</v>
      </c>
    </row>
    <row r="15">
      <c r="A15" s="1">
        <v>2.97985</v>
      </c>
    </row>
    <row r="16">
      <c r="A16" s="1">
        <v>2.39814</v>
      </c>
    </row>
    <row r="17">
      <c r="A17" s="1">
        <v>2.54963</v>
      </c>
    </row>
    <row r="18">
      <c r="A18" s="1">
        <v>5.58489</v>
      </c>
    </row>
    <row r="19">
      <c r="A19" s="1">
        <v>2.03736</v>
      </c>
    </row>
    <row r="20">
      <c r="A20" s="1">
        <v>2.12207</v>
      </c>
    </row>
    <row r="21">
      <c r="A21" s="1">
        <v>2.16674</v>
      </c>
    </row>
    <row r="22">
      <c r="A22" s="1">
        <v>2.31486</v>
      </c>
    </row>
    <row r="23">
      <c r="A23" s="1">
        <v>2.57227</v>
      </c>
    </row>
    <row r="24">
      <c r="A24" s="1">
        <v>2.58787</v>
      </c>
    </row>
    <row r="25">
      <c r="A25" s="1">
        <v>2.49858</v>
      </c>
    </row>
    <row r="26">
      <c r="A26" s="1">
        <v>2.69607</v>
      </c>
    </row>
    <row r="27">
      <c r="A27" s="1">
        <v>2.95617</v>
      </c>
    </row>
    <row r="28">
      <c r="A28" s="1">
        <v>2.29374</v>
      </c>
    </row>
    <row r="29">
      <c r="A29" s="1">
        <v>2.93281</v>
      </c>
    </row>
    <row r="30">
      <c r="A30" s="1">
        <v>2.68048</v>
      </c>
    </row>
    <row r="31">
      <c r="A31" s="1">
        <v>2.75624</v>
      </c>
    </row>
    <row r="32">
      <c r="A32" s="1">
        <v>2.04148</v>
      </c>
    </row>
    <row r="33">
      <c r="A33" s="1">
        <v>2.65199</v>
      </c>
    </row>
    <row r="34">
      <c r="A34" s="1">
        <v>2.60345</v>
      </c>
    </row>
    <row r="35">
      <c r="A35" s="1">
        <v>2.29567</v>
      </c>
    </row>
    <row r="36">
      <c r="A36" s="1">
        <v>2.83439</v>
      </c>
    </row>
    <row r="37">
      <c r="A37" s="1">
        <v>2.18007</v>
      </c>
    </row>
    <row r="38">
      <c r="A38" s="1">
        <v>2.67572</v>
      </c>
    </row>
    <row r="39">
      <c r="A39" s="1">
        <v>2.35357</v>
      </c>
    </row>
    <row r="40">
      <c r="A40" s="1">
        <v>2.55856</v>
      </c>
    </row>
    <row r="41">
      <c r="A41" s="1">
        <v>2.24745</v>
      </c>
    </row>
    <row r="42">
      <c r="A42" s="1">
        <v>2.27383</v>
      </c>
    </row>
    <row r="43">
      <c r="A43" s="1">
        <v>2.31724</v>
      </c>
    </row>
    <row r="44">
      <c r="A44" s="1">
        <v>2.24217</v>
      </c>
    </row>
    <row r="45">
      <c r="A45" s="1">
        <v>2.59155</v>
      </c>
    </row>
    <row r="46">
      <c r="A46" s="1">
        <v>2.63007</v>
      </c>
    </row>
    <row r="47">
      <c r="A47" s="1">
        <v>2.54827</v>
      </c>
    </row>
    <row r="48">
      <c r="A48" s="1">
        <v>2.86845</v>
      </c>
    </row>
    <row r="49">
      <c r="A49" s="1">
        <v>2.27734</v>
      </c>
    </row>
    <row r="50">
      <c r="A50" s="1">
        <v>2.60837</v>
      </c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drawing r:id="rId1"/>
</worksheet>
</file>