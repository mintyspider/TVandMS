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<sst xmlns="http://schemas.openxmlformats.org/spreadsheetml/2006/main" count="13" uniqueCount="13">
  <si>
    <t>X</t>
  </si>
  <si>
    <t>Для выб. дисперсии</t>
  </si>
  <si>
    <t>Задание 1</t>
  </si>
  <si>
    <t>Выборочное среднее</t>
  </si>
  <si>
    <t>Смещенная выборочная дисперсия</t>
  </si>
  <si>
    <t>Смещенное выборочное среднеквадратическое отклонение</t>
  </si>
  <si>
    <t>Несмещенное выборочное среднеквадратическое отклонение</t>
  </si>
  <si>
    <t>Несмещенная выборочная дисперсия</t>
  </si>
  <si>
    <t>- минимальное значение</t>
  </si>
  <si>
    <t>Середины интервала</t>
  </si>
  <si>
    <t>Частота</t>
  </si>
  <si>
    <t>Как делить?</t>
  </si>
  <si>
    <t>- максимальное значение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</si>
</sst>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Courier New&quot;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164" xfId="0" applyFill="1" applyFont="1" applyNumberFormat="1"/>
    <xf borderId="0" fillId="0" fontId="2" numFmtId="0" xfId="0" applyAlignment="1" applyFont="1">
      <alignment horizontal="left" readingOrder="0" vertical="bottom"/>
    </xf>
    <xf borderId="0" fillId="0" fontId="1" numFmtId="164" xfId="0" applyFont="1" applyNumberFormat="1"/>
    <xf borderId="0" fillId="0" fontId="1" numFmtId="164" xfId="0" applyFont="1" applyNumberFormat="1"/>
    <xf borderId="0" fillId="3" fontId="2" numFmtId="0" xfId="0" applyAlignment="1" applyFill="1" applyFont="1">
      <alignment horizontal="left" readingOrder="0" vertical="bottom"/>
    </xf>
    <xf borderId="0" fillId="0" fontId="1" numFmtId="0" xfId="0" applyFont="1"/>
    <xf borderId="0" fillId="4" fontId="2" numFmtId="0" xfId="0" applyAlignment="1" applyFill="1" applyFont="1">
      <alignment horizontal="left" readingOrder="0" vertical="bottom"/>
    </xf>
    <xf borderId="0" fillId="5" fontId="2" numFmtId="0" xfId="0" applyAlignment="1" applyFill="1" applyFont="1">
      <alignment horizontal="left" readingOrder="0" vertical="bottom"/>
    </xf>
    <xf borderId="0" fillId="6" fontId="2" numFmtId="0" xfId="0" applyAlignment="1" applyFill="1" applyFont="1">
      <alignment horizontal="left" readingOrder="0" vertical="bottom"/>
    </xf>
    <xf borderId="0" fillId="7" fontId="2" numFmtId="0" xfId="0" applyAlignment="1" applyFill="1" applyFont="1">
      <alignment horizontal="left" readingOrder="0" vertical="bottom"/>
    </xf>
    <xf borderId="0" fillId="8" fontId="2" numFmtId="0" xfId="0" applyAlignment="1" applyFill="1" applyFont="1">
      <alignment horizontal="left" readingOrder="0" vertical="bottom"/>
    </xf>
    <xf borderId="0" fillId="9" fontId="2" numFmtId="0" xfId="0" applyAlignment="1" applyFill="1" applyFont="1">
      <alignment horizontal="lef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9.63"/>
    <col customWidth="1" min="4" max="4" width="9.38"/>
    <col customWidth="1" min="5" max="5" width="49.5"/>
    <col customWidth="1" min="8" max="8" width="12.75"/>
  </cols>
  <sheetData>
    <row r="1">
      <c r="A1" s="1" t="s">
        <v>0</v>
      </c>
      <c r="B1" s="1" t="s">
        <v>1</v>
      </c>
      <c r="C1" s="2">
        <f>AVERAGE(A2:A51)</f>
        <v>2.5638358</v>
      </c>
      <c r="E1" s="1" t="s">
        <v>2</v>
      </c>
    </row>
    <row r="2">
      <c r="A2" s="3">
        <v>2.04724</v>
      </c>
      <c r="B2" s="4">
        <f t="shared" ref="B2:B51" si="1">(A2-$C$1)^2</f>
        <v>0.2668712206</v>
      </c>
      <c r="E2" s="1" t="s">
        <v>3</v>
      </c>
    </row>
    <row r="3">
      <c r="A3" s="3">
        <v>2.30863</v>
      </c>
      <c r="B3" s="4">
        <f t="shared" si="1"/>
        <v>0.06513000035</v>
      </c>
      <c r="E3" s="5">
        <f>SUM(A2:A51)/50</f>
        <v>2.5638358</v>
      </c>
    </row>
    <row r="4">
      <c r="A4" s="3">
        <v>2.7061</v>
      </c>
      <c r="B4" s="4">
        <f t="shared" si="1"/>
        <v>0.0202391026</v>
      </c>
    </row>
    <row r="5">
      <c r="A5" s="3">
        <v>2.02023</v>
      </c>
      <c r="B5" s="4">
        <f t="shared" si="1"/>
        <v>0.2955072658</v>
      </c>
      <c r="E5" s="1" t="s">
        <v>4</v>
      </c>
    </row>
    <row r="6">
      <c r="A6" s="3">
        <v>2.35817</v>
      </c>
      <c r="B6" s="4">
        <f t="shared" si="1"/>
        <v>0.04229842129</v>
      </c>
      <c r="E6" s="4">
        <f>SUM(B2:B51)/50</f>
        <v>0.387001881</v>
      </c>
    </row>
    <row r="7">
      <c r="A7" s="3">
        <v>4.64621</v>
      </c>
      <c r="B7" s="4">
        <f t="shared" si="1"/>
        <v>4.336282309</v>
      </c>
    </row>
    <row r="8">
      <c r="A8" s="3">
        <v>2.09655</v>
      </c>
      <c r="B8" s="4">
        <f t="shared" si="1"/>
        <v>0.2183560189</v>
      </c>
      <c r="E8" s="1" t="s">
        <v>5</v>
      </c>
    </row>
    <row r="9">
      <c r="A9" s="3">
        <v>2.05913</v>
      </c>
      <c r="B9" s="4">
        <f t="shared" si="1"/>
        <v>0.2547279446</v>
      </c>
      <c r="E9" s="5">
        <f>E6^0.5</f>
        <v>0.6220947524</v>
      </c>
    </row>
    <row r="10">
      <c r="A10" s="3">
        <v>2.54777</v>
      </c>
      <c r="B10" s="4">
        <f t="shared" si="1"/>
        <v>0.0002581099296</v>
      </c>
    </row>
    <row r="11">
      <c r="A11" s="3">
        <v>2.22937</v>
      </c>
      <c r="B11" s="4">
        <f t="shared" si="1"/>
        <v>0.1118673714</v>
      </c>
      <c r="E11" s="1" t="s">
        <v>6</v>
      </c>
    </row>
    <row r="12">
      <c r="A12" s="3">
        <v>2.00337</v>
      </c>
      <c r="B12" s="4">
        <f t="shared" si="1"/>
        <v>0.314121913</v>
      </c>
      <c r="E12" s="4">
        <f>SUM(B2:B51)/49</f>
        <v>0.3948998786</v>
      </c>
    </row>
    <row r="13">
      <c r="A13" s="3">
        <v>2.35718</v>
      </c>
      <c r="B13" s="4">
        <f t="shared" si="1"/>
        <v>0.04270661967</v>
      </c>
    </row>
    <row r="14">
      <c r="A14" s="3">
        <v>2.08263</v>
      </c>
      <c r="B14" s="4">
        <f t="shared" si="1"/>
        <v>0.231559022</v>
      </c>
      <c r="E14" s="1" t="s">
        <v>7</v>
      </c>
    </row>
    <row r="15">
      <c r="A15" s="3">
        <v>3.8018</v>
      </c>
      <c r="B15" s="4">
        <f t="shared" si="1"/>
        <v>1.53255536</v>
      </c>
      <c r="E15" s="5">
        <f>E12^0.5</f>
        <v>0.6284105971</v>
      </c>
    </row>
    <row r="16">
      <c r="A16" s="3">
        <v>2.97985</v>
      </c>
      <c r="B16" s="4">
        <f t="shared" si="1"/>
        <v>0.1730678146</v>
      </c>
    </row>
    <row r="17">
      <c r="A17" s="3">
        <v>2.39814</v>
      </c>
      <c r="B17" s="4">
        <f t="shared" si="1"/>
        <v>0.02745509814</v>
      </c>
    </row>
    <row r="18">
      <c r="A18" s="3">
        <v>2.54963</v>
      </c>
      <c r="B18" s="4">
        <f t="shared" si="1"/>
        <v>0.0002018047536</v>
      </c>
    </row>
    <row r="19">
      <c r="A19" s="3">
        <v>5.58489</v>
      </c>
      <c r="B19" s="4">
        <f t="shared" si="1"/>
        <v>9.126768479</v>
      </c>
    </row>
    <row r="20">
      <c r="A20" s="3">
        <v>2.03736</v>
      </c>
      <c r="B20" s="4">
        <f t="shared" si="1"/>
        <v>0.277176768</v>
      </c>
    </row>
    <row r="21">
      <c r="A21" s="3">
        <v>2.12207</v>
      </c>
      <c r="B21" s="4">
        <f t="shared" si="1"/>
        <v>0.195157022</v>
      </c>
    </row>
    <row r="22">
      <c r="A22" s="3">
        <v>2.16674</v>
      </c>
      <c r="B22" s="4">
        <f t="shared" si="1"/>
        <v>0.1576850744</v>
      </c>
    </row>
    <row r="23">
      <c r="A23" s="3">
        <v>2.31486</v>
      </c>
      <c r="B23" s="4">
        <f t="shared" si="1"/>
        <v>0.06198894899</v>
      </c>
    </row>
    <row r="24">
      <c r="A24" s="3">
        <v>2.57227</v>
      </c>
      <c r="B24" s="4">
        <f t="shared" si="1"/>
        <v>0.00007113572964</v>
      </c>
    </row>
    <row r="25">
      <c r="A25" s="3">
        <v>2.58787</v>
      </c>
      <c r="B25" s="4">
        <f t="shared" si="1"/>
        <v>0.0005776427696</v>
      </c>
    </row>
    <row r="26">
      <c r="A26" s="3">
        <v>2.49858</v>
      </c>
      <c r="B26" s="4">
        <f t="shared" si="1"/>
        <v>0.004258319434</v>
      </c>
    </row>
    <row r="27">
      <c r="A27" s="3">
        <v>2.69607</v>
      </c>
      <c r="B27" s="4">
        <f t="shared" si="1"/>
        <v>0.01748588365</v>
      </c>
    </row>
    <row r="28">
      <c r="A28" s="3">
        <v>2.95617</v>
      </c>
      <c r="B28" s="4">
        <f t="shared" si="1"/>
        <v>0.1539261245</v>
      </c>
    </row>
    <row r="29">
      <c r="A29" s="3">
        <v>2.29374</v>
      </c>
      <c r="B29" s="4">
        <f t="shared" si="1"/>
        <v>0.07295174118</v>
      </c>
    </row>
    <row r="30">
      <c r="A30" s="3">
        <v>2.93281</v>
      </c>
      <c r="B30" s="4">
        <f t="shared" si="1"/>
        <v>0.1361419603</v>
      </c>
    </row>
    <row r="31">
      <c r="A31" s="3">
        <v>2.68048</v>
      </c>
      <c r="B31" s="4">
        <f t="shared" si="1"/>
        <v>0.01360586939</v>
      </c>
    </row>
    <row r="32">
      <c r="A32" s="3">
        <v>2.75624</v>
      </c>
      <c r="B32" s="4">
        <f t="shared" si="1"/>
        <v>0.03701937618</v>
      </c>
    </row>
    <row r="33">
      <c r="A33" s="3">
        <v>2.04148</v>
      </c>
      <c r="B33" s="4">
        <f t="shared" si="1"/>
        <v>0.2728555818</v>
      </c>
    </row>
    <row r="34">
      <c r="A34" s="3">
        <v>2.65199</v>
      </c>
      <c r="B34" s="4">
        <f t="shared" si="1"/>
        <v>0.007771162978</v>
      </c>
    </row>
    <row r="35">
      <c r="A35" s="3">
        <v>2.60345</v>
      </c>
      <c r="B35" s="4">
        <f t="shared" si="1"/>
        <v>0.001569284842</v>
      </c>
    </row>
    <row r="36">
      <c r="A36" s="3">
        <v>2.29567</v>
      </c>
      <c r="B36" s="4">
        <f t="shared" si="1"/>
        <v>0.07191289629</v>
      </c>
    </row>
    <row r="37">
      <c r="A37" s="3">
        <v>2.83439</v>
      </c>
      <c r="B37" s="4">
        <f t="shared" si="1"/>
        <v>0.07319957514</v>
      </c>
    </row>
    <row r="38">
      <c r="A38" s="3">
        <v>2.18007</v>
      </c>
      <c r="B38" s="4">
        <f t="shared" si="1"/>
        <v>0.1472761892</v>
      </c>
    </row>
    <row r="39">
      <c r="A39" s="3">
        <v>2.67572</v>
      </c>
      <c r="B39" s="4">
        <f t="shared" si="1"/>
        <v>0.01251807421</v>
      </c>
    </row>
    <row r="40">
      <c r="A40" s="3">
        <v>2.35357</v>
      </c>
      <c r="B40" s="4">
        <f t="shared" si="1"/>
        <v>0.04421170665</v>
      </c>
    </row>
    <row r="41">
      <c r="A41" s="3">
        <v>2.55856</v>
      </c>
      <c r="B41" s="4">
        <f t="shared" si="1"/>
        <v>0.00002783406564</v>
      </c>
    </row>
    <row r="42">
      <c r="A42" s="3">
        <v>2.24745</v>
      </c>
      <c r="B42" s="4">
        <f t="shared" si="1"/>
        <v>0.1000999744</v>
      </c>
    </row>
    <row r="43">
      <c r="A43" s="3">
        <v>2.27383</v>
      </c>
      <c r="B43" s="4">
        <f t="shared" si="1"/>
        <v>0.08410336403</v>
      </c>
    </row>
    <row r="44">
      <c r="A44" s="3">
        <v>2.31724</v>
      </c>
      <c r="B44" s="4">
        <f t="shared" si="1"/>
        <v>0.06080948858</v>
      </c>
    </row>
    <row r="45">
      <c r="A45" s="3">
        <v>2.24217</v>
      </c>
      <c r="B45" s="4">
        <f t="shared" si="1"/>
        <v>0.1034688869</v>
      </c>
    </row>
    <row r="46">
      <c r="A46" s="3">
        <v>2.59155</v>
      </c>
      <c r="B46" s="4">
        <f t="shared" si="1"/>
        <v>0.0007680768816</v>
      </c>
    </row>
    <row r="47">
      <c r="A47" s="3">
        <v>2.63007</v>
      </c>
      <c r="B47" s="4">
        <f t="shared" si="1"/>
        <v>0.00438696925</v>
      </c>
    </row>
    <row r="48">
      <c r="A48" s="3">
        <v>2.54827</v>
      </c>
      <c r="B48" s="4">
        <f t="shared" si="1"/>
        <v>0.0002422941296</v>
      </c>
    </row>
    <row r="49">
      <c r="A49" s="3">
        <v>2.86845</v>
      </c>
      <c r="B49" s="4">
        <f t="shared" si="1"/>
        <v>0.09278981084</v>
      </c>
    </row>
    <row r="50">
      <c r="A50" s="3">
        <v>2.27734</v>
      </c>
      <c r="B50" s="4">
        <f t="shared" si="1"/>
        <v>0.08207984342</v>
      </c>
    </row>
    <row r="51">
      <c r="A51" s="3">
        <v>2.60837</v>
      </c>
      <c r="B51" s="4">
        <f t="shared" si="1"/>
        <v>0.00198329497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17.63"/>
  </cols>
  <sheetData>
    <row r="1">
      <c r="A1" s="6">
        <v>2.00337</v>
      </c>
      <c r="B1" s="1" t="s">
        <v>8</v>
      </c>
      <c r="D1" s="1" t="s">
        <v>9</v>
      </c>
      <c r="E1" s="1" t="s">
        <v>10</v>
      </c>
      <c r="G1" s="1" t="s">
        <v>11</v>
      </c>
    </row>
    <row r="2">
      <c r="A2" s="6">
        <v>2.02023</v>
      </c>
      <c r="D2" s="7">
        <f>(A1+A11)/2</f>
        <v>2.09172</v>
      </c>
      <c r="E2" s="7">
        <f>COUNT(A1:A11)</f>
        <v>11</v>
      </c>
      <c r="G2" s="7">
        <f>CEILING(1+LOG(50,2),1)</f>
        <v>7</v>
      </c>
    </row>
    <row r="3">
      <c r="A3" s="6">
        <v>2.03736</v>
      </c>
      <c r="D3" s="7">
        <f>(A12+A25)/2</f>
        <v>2.313755</v>
      </c>
      <c r="E3" s="7">
        <f>COUNT(A12:A25)</f>
        <v>14</v>
      </c>
    </row>
    <row r="4">
      <c r="A4" s="6">
        <v>2.04148</v>
      </c>
      <c r="D4" s="7">
        <f>(A26+A33)/2</f>
        <v>2.545065</v>
      </c>
      <c r="E4" s="7">
        <f>COUNT(A26:A33)</f>
        <v>8</v>
      </c>
    </row>
    <row r="5">
      <c r="A5" s="6">
        <v>2.04724</v>
      </c>
      <c r="D5" s="7">
        <f>(A34+A42)/2</f>
        <v>2.679845</v>
      </c>
      <c r="E5" s="7">
        <f>COUNT(A34:A42)</f>
        <v>9</v>
      </c>
    </row>
    <row r="6">
      <c r="A6" s="6">
        <v>2.05913</v>
      </c>
      <c r="D6" s="7">
        <f>(A43+A47)/2</f>
        <v>2.90712</v>
      </c>
      <c r="E6" s="7">
        <f>COUNT(A43:A47)</f>
        <v>5</v>
      </c>
    </row>
    <row r="7">
      <c r="A7" s="6">
        <v>2.08263</v>
      </c>
      <c r="D7" s="7">
        <f>(A48+A48)/2</f>
        <v>3.8018</v>
      </c>
      <c r="E7" s="7">
        <f>COUNT(A48)</f>
        <v>1</v>
      </c>
    </row>
    <row r="8">
      <c r="A8" s="6">
        <v>2.09655</v>
      </c>
      <c r="D8" s="7">
        <f>(A49+A50)/2</f>
        <v>5.11555</v>
      </c>
      <c r="E8" s="7">
        <f>COUNT(A49:A50)</f>
        <v>2</v>
      </c>
    </row>
    <row r="9">
      <c r="A9" s="6">
        <v>2.12207</v>
      </c>
    </row>
    <row r="10">
      <c r="A10" s="6">
        <v>2.16674</v>
      </c>
    </row>
    <row r="11">
      <c r="A11" s="6">
        <v>2.18007</v>
      </c>
    </row>
    <row r="12">
      <c r="A12" s="8">
        <v>2.22937</v>
      </c>
    </row>
    <row r="13">
      <c r="A13" s="8">
        <v>2.24217</v>
      </c>
    </row>
    <row r="14">
      <c r="A14" s="8">
        <v>2.24745</v>
      </c>
    </row>
    <row r="15">
      <c r="A15" s="8">
        <v>2.27383</v>
      </c>
    </row>
    <row r="16">
      <c r="A16" s="8">
        <v>2.27734</v>
      </c>
    </row>
    <row r="17">
      <c r="A17" s="8">
        <v>2.29374</v>
      </c>
    </row>
    <row r="18">
      <c r="A18" s="8">
        <v>2.29567</v>
      </c>
    </row>
    <row r="19">
      <c r="A19" s="8">
        <v>2.30863</v>
      </c>
    </row>
    <row r="20">
      <c r="A20" s="8">
        <v>2.31486</v>
      </c>
    </row>
    <row r="21">
      <c r="A21" s="8">
        <v>2.31724</v>
      </c>
    </row>
    <row r="22">
      <c r="A22" s="8">
        <v>2.35357</v>
      </c>
    </row>
    <row r="23">
      <c r="A23" s="8">
        <v>2.35718</v>
      </c>
    </row>
    <row r="24">
      <c r="A24" s="8">
        <v>2.35817</v>
      </c>
    </row>
    <row r="25">
      <c r="A25" s="8">
        <v>2.39814</v>
      </c>
    </row>
    <row r="26">
      <c r="A26" s="9">
        <v>2.49858</v>
      </c>
    </row>
    <row r="27">
      <c r="A27" s="9">
        <v>2.54777</v>
      </c>
    </row>
    <row r="28">
      <c r="A28" s="9">
        <v>2.54827</v>
      </c>
    </row>
    <row r="29">
      <c r="A29" s="9">
        <v>2.54963</v>
      </c>
    </row>
    <row r="30">
      <c r="A30" s="9">
        <v>2.55856</v>
      </c>
    </row>
    <row r="31">
      <c r="A31" s="9">
        <v>2.57227</v>
      </c>
    </row>
    <row r="32">
      <c r="A32" s="9">
        <v>2.58787</v>
      </c>
    </row>
    <row r="33">
      <c r="A33" s="9">
        <v>2.59155</v>
      </c>
    </row>
    <row r="34">
      <c r="A34" s="10">
        <v>2.60345</v>
      </c>
    </row>
    <row r="35">
      <c r="A35" s="10">
        <v>2.60837</v>
      </c>
    </row>
    <row r="36">
      <c r="A36" s="10">
        <v>2.63007</v>
      </c>
    </row>
    <row r="37">
      <c r="A37" s="10">
        <v>2.65199</v>
      </c>
    </row>
    <row r="38">
      <c r="A38" s="10">
        <v>2.67572</v>
      </c>
    </row>
    <row r="39">
      <c r="A39" s="10">
        <v>2.68048</v>
      </c>
    </row>
    <row r="40">
      <c r="A40" s="10">
        <v>2.69607</v>
      </c>
    </row>
    <row r="41">
      <c r="A41" s="10">
        <v>2.7061</v>
      </c>
    </row>
    <row r="42">
      <c r="A42" s="10">
        <v>2.75624</v>
      </c>
    </row>
    <row r="43">
      <c r="A43" s="11">
        <v>2.83439</v>
      </c>
    </row>
    <row r="44">
      <c r="A44" s="11">
        <v>2.86845</v>
      </c>
    </row>
    <row r="45">
      <c r="A45" s="11">
        <v>2.93281</v>
      </c>
    </row>
    <row r="46">
      <c r="A46" s="11">
        <v>2.95617</v>
      </c>
    </row>
    <row r="47">
      <c r="A47" s="11">
        <v>2.97985</v>
      </c>
    </row>
    <row r="48">
      <c r="A48" s="12">
        <v>3.8018</v>
      </c>
    </row>
    <row r="49">
      <c r="A49" s="13">
        <v>4.64621</v>
      </c>
    </row>
    <row r="50">
      <c r="A50" s="13">
        <v>5.58489</v>
      </c>
      <c r="B50" s="1" t="s">
        <v>12</v>
      </c>
    </row>
    <row r="51">
      <c r="A51" s="14"/>
    </row>
  </sheetData>
  <drawing r:id="rId1"/>
</worksheet>
</file>